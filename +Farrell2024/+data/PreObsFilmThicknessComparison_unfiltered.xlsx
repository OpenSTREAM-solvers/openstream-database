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tlee239_wisc_edu/Documents/Documents/01_Research/01_OpenSTREAM/GitHub/openstream-database/+Farrell2024/+data/"/>
    </mc:Choice>
  </mc:AlternateContent>
  <xr:revisionPtr revIDLastSave="0" documentId="8_{0F4B67AC-2802-4E7B-B75A-DB5B714D446E}" xr6:coauthVersionLast="47" xr6:coauthVersionMax="47" xr10:uidLastSave="{00000000-0000-0000-0000-000000000000}"/>
  <bookViews>
    <workbookView xWindow="-120" yWindow="-120" windowWidth="29040" windowHeight="15720" xr2:uid="{4592F272-D649-4DC6-BAB0-584D00ED6D07}"/>
  </bookViews>
  <sheets>
    <sheet name="PreObsFilmThickness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" i="1"/>
</calcChain>
</file>

<file path=xl/sharedStrings.xml><?xml version="1.0" encoding="utf-8"?>
<sst xmlns="http://schemas.openxmlformats.org/spreadsheetml/2006/main" count="315" uniqueCount="79">
  <si>
    <t>Param Name</t>
  </si>
  <si>
    <t>Mass Flow [kg/m^2]</t>
  </si>
  <si>
    <t>Mass Flux [kg/m^2*s]</t>
  </si>
  <si>
    <t>Inlet Quality</t>
  </si>
  <si>
    <t>Combined Heater Power [W]</t>
  </si>
  <si>
    <t>Pressure [Pa]</t>
  </si>
  <si>
    <t>Length [m]</t>
  </si>
  <si>
    <t>Area [m^2]</t>
  </si>
  <si>
    <t>Perimeter [m]</t>
  </si>
  <si>
    <t>WallMesh</t>
  </si>
  <si>
    <t>WallPower</t>
  </si>
  <si>
    <t>Fluid</t>
  </si>
  <si>
    <t>Film Thickness Measured [m]</t>
  </si>
  <si>
    <t>'PARAM01_01'</t>
  </si>
  <si>
    <t>R245fa</t>
  </si>
  <si>
    <t>'PARAM01_02'</t>
  </si>
  <si>
    <t>'PARAM01_03'</t>
  </si>
  <si>
    <t>'PARAM01_04'</t>
  </si>
  <si>
    <t>'PARAM02_01'</t>
  </si>
  <si>
    <t>'PARAM02_02'</t>
  </si>
  <si>
    <t>'PARAM02_03'</t>
  </si>
  <si>
    <t>'PARAM02_04'</t>
  </si>
  <si>
    <t>'PARAM03_01'</t>
  </si>
  <si>
    <t>'PARAM03_02'</t>
  </si>
  <si>
    <t>'PARAM03_03'</t>
  </si>
  <si>
    <t>'PARAM03_04'</t>
  </si>
  <si>
    <t>'PARAM04_01'</t>
  </si>
  <si>
    <t>'PARAM04_02'</t>
  </si>
  <si>
    <t>'PARAM04_03'</t>
  </si>
  <si>
    <t>'PARAM04_04'</t>
  </si>
  <si>
    <t>'PARAM05_01'</t>
  </si>
  <si>
    <t>'PARAM05_02'</t>
  </si>
  <si>
    <t>'PARAM05_03'</t>
  </si>
  <si>
    <t>'PARAM05_04'</t>
  </si>
  <si>
    <t>'PARAM06_01'</t>
  </si>
  <si>
    <t>'PARAM06_02'</t>
  </si>
  <si>
    <t>'PARAM06_03'</t>
  </si>
  <si>
    <t>'PARAM06_04'</t>
  </si>
  <si>
    <t>'PARAM07_01'</t>
  </si>
  <si>
    <t>'PARAM07_02'</t>
  </si>
  <si>
    <t>'PARAM07_03'</t>
  </si>
  <si>
    <t>'PARAM07_04'</t>
  </si>
  <si>
    <t>'PARAM08_01'</t>
  </si>
  <si>
    <t>'PARAM08_02'</t>
  </si>
  <si>
    <t>'PARAM08_03'</t>
  </si>
  <si>
    <t>'PARAM08_04'</t>
  </si>
  <si>
    <t>'PARAM09_01'</t>
  </si>
  <si>
    <t>'PARAM09_02'</t>
  </si>
  <si>
    <t>'PARAM09_03'</t>
  </si>
  <si>
    <t>'PARAM09_04'</t>
  </si>
  <si>
    <t>'PARAM10_01'</t>
  </si>
  <si>
    <t>'PARAM10_02'</t>
  </si>
  <si>
    <t>'PARAM10_03'</t>
  </si>
  <si>
    <t>'PARAM10_04'</t>
  </si>
  <si>
    <t>'PARAM11_01'</t>
  </si>
  <si>
    <t>'PARAM11_02'</t>
  </si>
  <si>
    <t>'PARAM11_03'</t>
  </si>
  <si>
    <t>'PARAM11_04'</t>
  </si>
  <si>
    <t>'PARAM12_01'</t>
  </si>
  <si>
    <t>'PARAM12_02'</t>
  </si>
  <si>
    <t>'PARAM12_03'</t>
  </si>
  <si>
    <t>'PARAM12_04'</t>
  </si>
  <si>
    <t>'PARAM13_01'</t>
  </si>
  <si>
    <t>'PARAM13_02'</t>
  </si>
  <si>
    <t>'PARAM13_03'</t>
  </si>
  <si>
    <t>'PARAM13_04'</t>
  </si>
  <si>
    <t>'PARAM14_01'</t>
  </si>
  <si>
    <t>'PARAM14_02'</t>
  </si>
  <si>
    <t>'PARAM14_03'</t>
  </si>
  <si>
    <t>'PARAM14_04'</t>
  </si>
  <si>
    <t>'PARAM15_01'</t>
  </si>
  <si>
    <t>'PARAM15_02'</t>
  </si>
  <si>
    <t>'PARAM15_03'</t>
  </si>
  <si>
    <t>'PARAM15_04'</t>
  </si>
  <si>
    <t>Heat Flux [W/m^2]</t>
  </si>
  <si>
    <t>[1 1 ]</t>
  </si>
  <si>
    <t>[0.096]</t>
  </si>
  <si>
    <t>Inlet Enthalpy [J/kg]</t>
  </si>
  <si>
    <t>[0.2015 0.2015]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</si>
</sst>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B02C-9C1B-4A7A-8D40-84ADEA2A1E65}">
  <dimension ref="A1:O61"/>
  <sheetViews>
    <sheetView tabSelected="1" zoomScale="80" zoomScaleNormal="80" workbookViewId="0">
      <selection activeCell="R27" sqref="R27"/>
    </sheetView>
  </sheetViews>
  <sheetFormatPr defaultRowHeight="15" x14ac:dyDescent="0.25"/>
  <cols>
    <col min="1" max="1" width="24.5703125" customWidth="1"/>
    <col min="2" max="2" width="22.5703125" customWidth="1"/>
    <col min="3" max="3" width="22.42578125" customWidth="1"/>
    <col min="4" max="4" width="27.28515625" customWidth="1"/>
    <col min="5" max="5" width="27.42578125" customWidth="1"/>
    <col min="6" max="6" width="42.42578125" customWidth="1"/>
    <col min="7" max="7" width="39.85546875" customWidth="1"/>
    <col min="8" max="8" width="13.85546875" customWidth="1"/>
    <col min="9" max="9" width="17.28515625" customWidth="1"/>
    <col min="10" max="10" width="16.85546875" customWidth="1"/>
    <col min="11" max="11" width="14.7109375" customWidth="1"/>
    <col min="12" max="12" width="17" customWidth="1"/>
    <col min="13" max="13" width="17.85546875" customWidth="1"/>
    <col min="14" max="14" width="10.28515625" customWidth="1"/>
    <col min="15" max="15" width="26.5703125" customWidth="1"/>
    <col min="16" max="16" width="21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77</v>
      </c>
      <c r="E1" t="s">
        <v>3</v>
      </c>
      <c r="F1" t="s">
        <v>74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>
        <v>5.5276603000000001E-2</v>
      </c>
      <c r="C2">
        <v>127.9551</v>
      </c>
      <c r="D2">
        <v>354385</v>
      </c>
      <c r="E2">
        <v>0.63859999999999995</v>
      </c>
      <c r="F2">
        <v>0</v>
      </c>
      <c r="G2">
        <f>F2*I2*0.036*2</f>
        <v>0</v>
      </c>
      <c r="H2">
        <v>150000</v>
      </c>
      <c r="I2">
        <v>0.40300000000000002</v>
      </c>
      <c r="J2" s="1">
        <v>4.3199999999999998E-4</v>
      </c>
      <c r="K2" t="s">
        <v>76</v>
      </c>
      <c r="L2" t="s">
        <v>78</v>
      </c>
      <c r="M2" t="s">
        <v>75</v>
      </c>
      <c r="N2" t="s">
        <v>14</v>
      </c>
      <c r="O2">
        <v>1.81609E-4</v>
      </c>
    </row>
    <row r="3" spans="1:15" x14ac:dyDescent="0.25">
      <c r="A3" t="s">
        <v>15</v>
      </c>
      <c r="B3">
        <v>5.5276603000000001E-2</v>
      </c>
      <c r="C3">
        <v>127.9551</v>
      </c>
      <c r="D3">
        <v>354385</v>
      </c>
      <c r="E3">
        <v>0.63859999999999995</v>
      </c>
      <c r="F3" s="1">
        <v>12899</v>
      </c>
      <c r="G3" s="1">
        <f>F3*I3*0.036*2</f>
        <v>374.27738399999998</v>
      </c>
      <c r="H3">
        <v>150000</v>
      </c>
      <c r="I3">
        <v>0.40300000000000002</v>
      </c>
      <c r="J3" s="1">
        <v>4.3199999999999998E-4</v>
      </c>
      <c r="K3" t="s">
        <v>76</v>
      </c>
      <c r="L3" t="s">
        <v>78</v>
      </c>
      <c r="M3" t="s">
        <v>75</v>
      </c>
      <c r="N3" t="s">
        <v>14</v>
      </c>
      <c r="O3">
        <v>1.83093E-4</v>
      </c>
    </row>
    <row r="4" spans="1:15" x14ac:dyDescent="0.25">
      <c r="A4" t="s">
        <v>16</v>
      </c>
      <c r="B4">
        <v>5.5276603000000001E-2</v>
      </c>
      <c r="C4">
        <v>127.9551</v>
      </c>
      <c r="D4">
        <v>354385</v>
      </c>
      <c r="E4">
        <v>0.63859999999999995</v>
      </c>
      <c r="F4" s="1">
        <v>26001</v>
      </c>
      <c r="G4">
        <f t="shared" ref="G4:G61" si="0">F4*I4*0.036*2</f>
        <v>754.44501600000001</v>
      </c>
      <c r="H4">
        <v>150000</v>
      </c>
      <c r="I4">
        <v>0.40300000000000002</v>
      </c>
      <c r="J4" s="1">
        <v>4.3199999999999998E-4</v>
      </c>
      <c r="K4" t="s">
        <v>76</v>
      </c>
      <c r="L4" t="s">
        <v>78</v>
      </c>
      <c r="M4" t="s">
        <v>75</v>
      </c>
      <c r="N4" t="s">
        <v>14</v>
      </c>
      <c r="O4">
        <v>1.7607699999999999E-4</v>
      </c>
    </row>
    <row r="5" spans="1:15" x14ac:dyDescent="0.25">
      <c r="A5" t="s">
        <v>17</v>
      </c>
      <c r="B5">
        <v>5.5276603000000001E-2</v>
      </c>
      <c r="C5">
        <v>127.9551</v>
      </c>
      <c r="D5">
        <v>354385</v>
      </c>
      <c r="E5">
        <v>0.63859999999999995</v>
      </c>
      <c r="F5" s="1">
        <v>26646</v>
      </c>
      <c r="G5">
        <f t="shared" si="0"/>
        <v>773.16033600000003</v>
      </c>
      <c r="H5">
        <v>150000</v>
      </c>
      <c r="I5">
        <v>0.40300000000000002</v>
      </c>
      <c r="J5" s="1">
        <v>4.3199999999999998E-4</v>
      </c>
      <c r="K5" t="s">
        <v>76</v>
      </c>
      <c r="L5" t="s">
        <v>78</v>
      </c>
      <c r="M5" t="s">
        <v>75</v>
      </c>
      <c r="N5" t="s">
        <v>14</v>
      </c>
      <c r="O5">
        <v>1.79264E-4</v>
      </c>
    </row>
    <row r="6" spans="1:15" x14ac:dyDescent="0.25">
      <c r="A6" t="s">
        <v>18</v>
      </c>
      <c r="B6">
        <v>5.5296518000000003E-2</v>
      </c>
      <c r="C6">
        <v>128.00120000000001</v>
      </c>
      <c r="D6">
        <v>369974</v>
      </c>
      <c r="E6">
        <v>0.72060000000000002</v>
      </c>
      <c r="F6">
        <v>0</v>
      </c>
      <c r="G6">
        <f t="shared" si="0"/>
        <v>0</v>
      </c>
      <c r="H6">
        <v>150000</v>
      </c>
      <c r="I6">
        <v>0.40300000000000002</v>
      </c>
      <c r="J6" s="1">
        <v>4.3199999999999998E-4</v>
      </c>
      <c r="K6" t="s">
        <v>76</v>
      </c>
      <c r="L6" t="s">
        <v>78</v>
      </c>
      <c r="M6" t="s">
        <v>75</v>
      </c>
      <c r="N6" t="s">
        <v>14</v>
      </c>
      <c r="O6">
        <v>1.6539500000000001E-4</v>
      </c>
    </row>
    <row r="7" spans="1:15" x14ac:dyDescent="0.25">
      <c r="A7" t="s">
        <v>19</v>
      </c>
      <c r="B7">
        <v>5.5296518000000003E-2</v>
      </c>
      <c r="C7">
        <v>128.00120000000001</v>
      </c>
      <c r="D7">
        <v>369974</v>
      </c>
      <c r="E7">
        <v>0.72060000000000002</v>
      </c>
      <c r="F7" s="1">
        <v>12870</v>
      </c>
      <c r="G7">
        <f t="shared" si="0"/>
        <v>373.43592000000001</v>
      </c>
      <c r="H7">
        <v>150000</v>
      </c>
      <c r="I7">
        <v>0.40300000000000002</v>
      </c>
      <c r="J7" s="1">
        <v>4.3199999999999998E-4</v>
      </c>
      <c r="K7" t="s">
        <v>76</v>
      </c>
      <c r="L7" t="s">
        <v>78</v>
      </c>
      <c r="M7" t="s">
        <v>75</v>
      </c>
      <c r="N7" t="s">
        <v>14</v>
      </c>
      <c r="O7">
        <v>1.4779100000000001E-4</v>
      </c>
    </row>
    <row r="8" spans="1:15" x14ac:dyDescent="0.25">
      <c r="A8" t="s">
        <v>20</v>
      </c>
      <c r="B8">
        <v>5.5296518000000003E-2</v>
      </c>
      <c r="C8">
        <v>128.00120000000001</v>
      </c>
      <c r="D8">
        <v>369974</v>
      </c>
      <c r="E8">
        <v>0.72060000000000002</v>
      </c>
      <c r="F8" s="1">
        <v>20737</v>
      </c>
      <c r="G8">
        <f t="shared" si="0"/>
        <v>601.704792</v>
      </c>
      <c r="H8">
        <v>150000</v>
      </c>
      <c r="I8">
        <v>0.40300000000000002</v>
      </c>
      <c r="J8" s="1">
        <v>4.3199999999999998E-4</v>
      </c>
      <c r="K8" t="s">
        <v>76</v>
      </c>
      <c r="L8" t="s">
        <v>78</v>
      </c>
      <c r="M8" t="s">
        <v>75</v>
      </c>
      <c r="N8" t="s">
        <v>14</v>
      </c>
      <c r="O8">
        <v>1.40586E-4</v>
      </c>
    </row>
    <row r="9" spans="1:15" x14ac:dyDescent="0.25">
      <c r="A9" t="s">
        <v>21</v>
      </c>
      <c r="B9">
        <v>5.5296518000000003E-2</v>
      </c>
      <c r="C9">
        <v>128.00120000000001</v>
      </c>
      <c r="D9">
        <v>369974</v>
      </c>
      <c r="E9">
        <v>0.72060000000000002</v>
      </c>
      <c r="F9" s="1">
        <v>23360</v>
      </c>
      <c r="G9">
        <f t="shared" si="0"/>
        <v>677.81375999999989</v>
      </c>
      <c r="H9">
        <v>150000</v>
      </c>
      <c r="I9">
        <v>0.40300000000000002</v>
      </c>
      <c r="J9" s="1">
        <v>4.3199999999999998E-4</v>
      </c>
      <c r="K9" t="s">
        <v>76</v>
      </c>
      <c r="L9" t="s">
        <v>78</v>
      </c>
      <c r="M9" t="s">
        <v>75</v>
      </c>
      <c r="N9" t="s">
        <v>14</v>
      </c>
      <c r="O9">
        <v>1.28319E-4</v>
      </c>
    </row>
    <row r="10" spans="1:15" x14ac:dyDescent="0.25">
      <c r="A10" t="s">
        <v>22</v>
      </c>
      <c r="B10">
        <v>5.5297642000000001E-2</v>
      </c>
      <c r="C10">
        <v>128.00380000000001</v>
      </c>
      <c r="D10">
        <v>385391</v>
      </c>
      <c r="E10">
        <v>0.80169999999999997</v>
      </c>
      <c r="F10">
        <v>0</v>
      </c>
      <c r="G10">
        <f t="shared" si="0"/>
        <v>0</v>
      </c>
      <c r="H10">
        <v>150000</v>
      </c>
      <c r="I10">
        <v>0.40300000000000002</v>
      </c>
      <c r="J10" s="1">
        <v>4.3199999999999998E-4</v>
      </c>
      <c r="K10" t="s">
        <v>76</v>
      </c>
      <c r="L10" t="s">
        <v>78</v>
      </c>
      <c r="M10" t="s">
        <v>75</v>
      </c>
      <c r="N10" t="s">
        <v>14</v>
      </c>
      <c r="O10">
        <v>1.36508E-4</v>
      </c>
    </row>
    <row r="11" spans="1:15" x14ac:dyDescent="0.25">
      <c r="A11" t="s">
        <v>23</v>
      </c>
      <c r="B11">
        <v>5.5297642000000001E-2</v>
      </c>
      <c r="C11">
        <v>128.00380000000001</v>
      </c>
      <c r="D11">
        <v>385391</v>
      </c>
      <c r="E11">
        <v>0.80169999999999997</v>
      </c>
      <c r="F11" s="1">
        <v>12942</v>
      </c>
      <c r="G11">
        <f t="shared" si="0"/>
        <v>375.52507199999997</v>
      </c>
      <c r="H11">
        <v>150000</v>
      </c>
      <c r="I11">
        <v>0.40300000000000002</v>
      </c>
      <c r="J11" s="1">
        <v>4.3199999999999998E-4</v>
      </c>
      <c r="K11" t="s">
        <v>76</v>
      </c>
      <c r="L11" t="s">
        <v>78</v>
      </c>
      <c r="M11" t="s">
        <v>75</v>
      </c>
      <c r="N11" t="s">
        <v>14</v>
      </c>
      <c r="O11">
        <v>1.1874E-4</v>
      </c>
    </row>
    <row r="12" spans="1:15" x14ac:dyDescent="0.25">
      <c r="A12" t="s">
        <v>24</v>
      </c>
      <c r="B12">
        <v>5.5297642000000001E-2</v>
      </c>
      <c r="C12">
        <v>128.00380000000001</v>
      </c>
      <c r="D12">
        <v>385391</v>
      </c>
      <c r="E12">
        <v>0.80169999999999997</v>
      </c>
      <c r="F12" s="1">
        <v>15569</v>
      </c>
      <c r="G12">
        <f t="shared" si="0"/>
        <v>451.75010400000002</v>
      </c>
      <c r="H12">
        <v>150000</v>
      </c>
      <c r="I12">
        <v>0.40300000000000002</v>
      </c>
      <c r="J12" s="1">
        <v>4.3199999999999998E-4</v>
      </c>
      <c r="K12" t="s">
        <v>76</v>
      </c>
      <c r="L12" t="s">
        <v>78</v>
      </c>
      <c r="M12" t="s">
        <v>75</v>
      </c>
      <c r="N12" t="s">
        <v>14</v>
      </c>
      <c r="O12">
        <v>1.17469E-4</v>
      </c>
    </row>
    <row r="13" spans="1:15" x14ac:dyDescent="0.25">
      <c r="A13" t="s">
        <v>25</v>
      </c>
      <c r="B13">
        <v>5.5297642000000001E-2</v>
      </c>
      <c r="C13">
        <v>128.00380000000001</v>
      </c>
      <c r="D13">
        <v>385391</v>
      </c>
      <c r="E13">
        <v>0.80169999999999997</v>
      </c>
      <c r="F13" s="1">
        <v>16868</v>
      </c>
      <c r="G13">
        <f t="shared" si="0"/>
        <v>489.44188799999995</v>
      </c>
      <c r="H13">
        <v>150000</v>
      </c>
      <c r="I13">
        <v>0.40300000000000002</v>
      </c>
      <c r="J13" s="1">
        <v>4.3199999999999998E-4</v>
      </c>
      <c r="K13" t="s">
        <v>76</v>
      </c>
      <c r="L13" t="s">
        <v>78</v>
      </c>
      <c r="M13" t="s">
        <v>75</v>
      </c>
      <c r="N13" t="s">
        <v>14</v>
      </c>
      <c r="O13">
        <v>1.12574E-4</v>
      </c>
    </row>
    <row r="14" spans="1:15" x14ac:dyDescent="0.25">
      <c r="A14" t="s">
        <v>26</v>
      </c>
      <c r="B14">
        <v>5.5306151999999997E-2</v>
      </c>
      <c r="C14">
        <v>128.02350000000001</v>
      </c>
      <c r="D14">
        <v>400504</v>
      </c>
      <c r="E14">
        <v>0.88119999999999998</v>
      </c>
      <c r="F14">
        <v>0</v>
      </c>
      <c r="G14">
        <f t="shared" si="0"/>
        <v>0</v>
      </c>
      <c r="H14">
        <v>150000</v>
      </c>
      <c r="I14">
        <v>0.40300000000000002</v>
      </c>
      <c r="J14" s="1">
        <v>4.3199999999999998E-4</v>
      </c>
      <c r="K14" t="s">
        <v>76</v>
      </c>
      <c r="L14" t="s">
        <v>78</v>
      </c>
      <c r="M14" t="s">
        <v>75</v>
      </c>
      <c r="N14" t="s">
        <v>14</v>
      </c>
      <c r="O14">
        <v>1.17737E-4</v>
      </c>
    </row>
    <row r="15" spans="1:15" x14ac:dyDescent="0.25">
      <c r="A15" t="s">
        <v>27</v>
      </c>
      <c r="B15">
        <v>5.5306151999999997E-2</v>
      </c>
      <c r="C15">
        <v>128.02350000000001</v>
      </c>
      <c r="D15">
        <v>400504</v>
      </c>
      <c r="E15">
        <v>0.88119999999999998</v>
      </c>
      <c r="F15" s="1">
        <v>12857</v>
      </c>
      <c r="G15">
        <f t="shared" si="0"/>
        <v>373.05871199999996</v>
      </c>
      <c r="H15">
        <v>150000</v>
      </c>
      <c r="I15">
        <v>0.40300000000000002</v>
      </c>
      <c r="J15" s="1">
        <v>4.3199999999999998E-4</v>
      </c>
      <c r="K15" t="s">
        <v>76</v>
      </c>
      <c r="L15" t="s">
        <v>78</v>
      </c>
      <c r="M15" t="s">
        <v>75</v>
      </c>
      <c r="N15" t="s">
        <v>14</v>
      </c>
      <c r="O15">
        <v>1.00109E-4</v>
      </c>
    </row>
    <row r="16" spans="1:15" x14ac:dyDescent="0.25">
      <c r="A16" t="s">
        <v>28</v>
      </c>
      <c r="B16">
        <v>5.5306151999999997E-2</v>
      </c>
      <c r="C16">
        <v>128.02350000000001</v>
      </c>
      <c r="D16">
        <v>400504</v>
      </c>
      <c r="E16">
        <v>0.88119999999999998</v>
      </c>
      <c r="F16" s="1">
        <v>14138</v>
      </c>
      <c r="G16">
        <f t="shared" si="0"/>
        <v>410.228208</v>
      </c>
      <c r="H16">
        <v>150000</v>
      </c>
      <c r="I16">
        <v>0.40300000000000002</v>
      </c>
      <c r="J16" s="1">
        <v>4.3199999999999998E-4</v>
      </c>
      <c r="K16" t="s">
        <v>76</v>
      </c>
      <c r="L16" t="s">
        <v>78</v>
      </c>
      <c r="M16" t="s">
        <v>75</v>
      </c>
      <c r="N16" t="s">
        <v>14</v>
      </c>
      <c r="O16" s="1">
        <v>9.5099999999999994E-5</v>
      </c>
    </row>
    <row r="17" spans="1:15" x14ac:dyDescent="0.25">
      <c r="A17" t="s">
        <v>29</v>
      </c>
      <c r="B17">
        <v>5.5306151999999997E-2</v>
      </c>
      <c r="C17">
        <v>128.02350000000001</v>
      </c>
      <c r="D17">
        <v>400504</v>
      </c>
      <c r="E17">
        <v>0.88119999999999998</v>
      </c>
      <c r="F17" s="1">
        <v>15397</v>
      </c>
      <c r="G17">
        <f t="shared" si="0"/>
        <v>446.75935199999998</v>
      </c>
      <c r="H17">
        <v>150000</v>
      </c>
      <c r="I17">
        <v>0.40300000000000002</v>
      </c>
      <c r="J17" s="1">
        <v>4.3199999999999998E-4</v>
      </c>
      <c r="K17" t="s">
        <v>76</v>
      </c>
      <c r="L17" t="s">
        <v>78</v>
      </c>
      <c r="M17" t="s">
        <v>75</v>
      </c>
      <c r="N17" t="s">
        <v>14</v>
      </c>
      <c r="O17" s="1">
        <v>9.4300000000000002E-5</v>
      </c>
    </row>
    <row r="18" spans="1:15" x14ac:dyDescent="0.25">
      <c r="A18" t="s">
        <v>30</v>
      </c>
      <c r="B18">
        <v>5.6299579000000002E-2</v>
      </c>
      <c r="C18">
        <v>130.32310000000001</v>
      </c>
      <c r="D18">
        <v>415370</v>
      </c>
      <c r="E18">
        <v>0.95940000000000003</v>
      </c>
      <c r="F18">
        <v>0</v>
      </c>
      <c r="G18">
        <f t="shared" si="0"/>
        <v>0</v>
      </c>
      <c r="H18">
        <v>150000</v>
      </c>
      <c r="I18">
        <v>0.40300000000000002</v>
      </c>
      <c r="J18" s="1">
        <v>4.3199999999999998E-4</v>
      </c>
      <c r="K18" t="s">
        <v>76</v>
      </c>
      <c r="L18" t="s">
        <v>78</v>
      </c>
      <c r="M18" t="s">
        <v>75</v>
      </c>
      <c r="N18" t="s">
        <v>14</v>
      </c>
      <c r="O18" s="1">
        <v>9.5400000000000001E-5</v>
      </c>
    </row>
    <row r="19" spans="1:15" x14ac:dyDescent="0.25">
      <c r="A19" t="s">
        <v>31</v>
      </c>
      <c r="B19">
        <v>5.6299579000000002E-2</v>
      </c>
      <c r="C19">
        <v>130.32310000000001</v>
      </c>
      <c r="D19">
        <v>415370</v>
      </c>
      <c r="E19">
        <v>0.95940000000000003</v>
      </c>
      <c r="F19" s="1">
        <v>7602.2</v>
      </c>
      <c r="G19">
        <f t="shared" si="0"/>
        <v>220.58543519999998</v>
      </c>
      <c r="H19">
        <v>150000</v>
      </c>
      <c r="I19">
        <v>0.40300000000000002</v>
      </c>
      <c r="J19" s="1">
        <v>4.3199999999999998E-4</v>
      </c>
      <c r="K19" t="s">
        <v>76</v>
      </c>
      <c r="L19" t="s">
        <v>78</v>
      </c>
      <c r="M19" t="s">
        <v>75</v>
      </c>
      <c r="N19" t="s">
        <v>14</v>
      </c>
      <c r="O19" s="1">
        <v>7.9599999999999997E-5</v>
      </c>
    </row>
    <row r="20" spans="1:15" x14ac:dyDescent="0.25">
      <c r="A20" t="s">
        <v>32</v>
      </c>
      <c r="B20">
        <v>5.6299579000000002E-2</v>
      </c>
      <c r="C20">
        <v>130.32310000000001</v>
      </c>
      <c r="D20">
        <v>415370</v>
      </c>
      <c r="E20">
        <v>0.95940000000000003</v>
      </c>
      <c r="F20" s="1">
        <v>10111</v>
      </c>
      <c r="G20">
        <f t="shared" si="0"/>
        <v>293.38077599999997</v>
      </c>
      <c r="H20">
        <v>150000</v>
      </c>
      <c r="I20">
        <v>0.40300000000000002</v>
      </c>
      <c r="J20" s="1">
        <v>4.3199999999999998E-4</v>
      </c>
      <c r="K20" t="s">
        <v>76</v>
      </c>
      <c r="L20" t="s">
        <v>78</v>
      </c>
      <c r="M20" t="s">
        <v>75</v>
      </c>
      <c r="N20" t="s">
        <v>14</v>
      </c>
      <c r="O20" s="1">
        <v>6.8999999999999997E-5</v>
      </c>
    </row>
    <row r="21" spans="1:15" x14ac:dyDescent="0.25">
      <c r="A21" t="s">
        <v>33</v>
      </c>
      <c r="B21">
        <v>5.6299579000000002E-2</v>
      </c>
      <c r="C21">
        <v>130.32310000000001</v>
      </c>
      <c r="D21">
        <v>415370</v>
      </c>
      <c r="E21">
        <v>0.95940000000000003</v>
      </c>
      <c r="F21" s="1">
        <v>12552</v>
      </c>
      <c r="G21">
        <f t="shared" si="0"/>
        <v>364.20883199999997</v>
      </c>
      <c r="H21">
        <v>150000</v>
      </c>
      <c r="I21">
        <v>0.40300000000000002</v>
      </c>
      <c r="J21" s="1">
        <v>4.3199999999999998E-4</v>
      </c>
      <c r="K21" t="s">
        <v>76</v>
      </c>
      <c r="L21" t="s">
        <v>78</v>
      </c>
      <c r="M21" t="s">
        <v>75</v>
      </c>
      <c r="N21" t="s">
        <v>14</v>
      </c>
      <c r="O21" s="1">
        <v>6.3899999999999995E-5</v>
      </c>
    </row>
    <row r="22" spans="1:15" x14ac:dyDescent="0.25">
      <c r="A22" t="s">
        <v>34</v>
      </c>
      <c r="B22">
        <v>6.4281599999999994E-2</v>
      </c>
      <c r="C22">
        <v>148.80000000000001</v>
      </c>
      <c r="D22">
        <v>355602</v>
      </c>
      <c r="E22">
        <v>0.64500000000000002</v>
      </c>
      <c r="F22">
        <v>0</v>
      </c>
      <c r="G22">
        <f t="shared" si="0"/>
        <v>0</v>
      </c>
      <c r="H22">
        <v>150000</v>
      </c>
      <c r="I22">
        <v>0.40300000000000002</v>
      </c>
      <c r="J22" s="1">
        <v>4.3199999999999998E-4</v>
      </c>
      <c r="K22" t="s">
        <v>76</v>
      </c>
      <c r="L22" t="s">
        <v>78</v>
      </c>
      <c r="M22" t="s">
        <v>75</v>
      </c>
      <c r="N22" t="s">
        <v>14</v>
      </c>
      <c r="O22">
        <v>1.59369E-4</v>
      </c>
    </row>
    <row r="23" spans="1:15" x14ac:dyDescent="0.25">
      <c r="A23" t="s">
        <v>35</v>
      </c>
      <c r="B23">
        <v>6.4281599999999994E-2</v>
      </c>
      <c r="C23">
        <v>148.80000000000001</v>
      </c>
      <c r="D23">
        <v>355602</v>
      </c>
      <c r="E23">
        <v>0.64500000000000002</v>
      </c>
      <c r="F23" s="1">
        <v>13125</v>
      </c>
      <c r="G23">
        <f t="shared" si="0"/>
        <v>380.83499999999998</v>
      </c>
      <c r="H23">
        <v>150000</v>
      </c>
      <c r="I23">
        <v>0.40300000000000002</v>
      </c>
      <c r="J23" s="1">
        <v>4.3199999999999998E-4</v>
      </c>
      <c r="K23" t="s">
        <v>76</v>
      </c>
      <c r="L23" t="s">
        <v>78</v>
      </c>
      <c r="M23" t="s">
        <v>75</v>
      </c>
      <c r="N23" t="s">
        <v>14</v>
      </c>
      <c r="O23">
        <v>1.4241500000000001E-4</v>
      </c>
    </row>
    <row r="24" spans="1:15" x14ac:dyDescent="0.25">
      <c r="A24" t="s">
        <v>36</v>
      </c>
      <c r="B24">
        <v>6.4281599999999994E-2</v>
      </c>
      <c r="C24">
        <v>148.80000000000001</v>
      </c>
      <c r="D24">
        <v>355602</v>
      </c>
      <c r="E24">
        <v>0.64500000000000002</v>
      </c>
      <c r="F24" s="1">
        <v>18384</v>
      </c>
      <c r="G24">
        <f t="shared" si="0"/>
        <v>533.43014400000004</v>
      </c>
      <c r="H24">
        <v>150000</v>
      </c>
      <c r="I24">
        <v>0.40300000000000002</v>
      </c>
      <c r="J24" s="1">
        <v>4.3199999999999998E-4</v>
      </c>
      <c r="K24" t="s">
        <v>76</v>
      </c>
      <c r="L24" t="s">
        <v>78</v>
      </c>
      <c r="M24" t="s">
        <v>75</v>
      </c>
      <c r="N24" t="s">
        <v>14</v>
      </c>
      <c r="O24">
        <v>1.29309E-4</v>
      </c>
    </row>
    <row r="25" spans="1:15" x14ac:dyDescent="0.25">
      <c r="A25" t="s">
        <v>37</v>
      </c>
      <c r="B25">
        <v>6.4281599999999994E-2</v>
      </c>
      <c r="C25">
        <v>148.80000000000001</v>
      </c>
      <c r="D25">
        <v>355602</v>
      </c>
      <c r="E25">
        <v>0.64500000000000002</v>
      </c>
      <c r="F25" s="1">
        <v>22300</v>
      </c>
      <c r="G25">
        <f t="shared" si="0"/>
        <v>647.05680000000007</v>
      </c>
      <c r="H25">
        <v>150000</v>
      </c>
      <c r="I25">
        <v>0.40300000000000002</v>
      </c>
      <c r="J25" s="1">
        <v>4.3199999999999998E-4</v>
      </c>
      <c r="K25" t="s">
        <v>76</v>
      </c>
      <c r="L25" t="s">
        <v>78</v>
      </c>
      <c r="M25" t="s">
        <v>75</v>
      </c>
      <c r="N25" t="s">
        <v>14</v>
      </c>
      <c r="O25">
        <v>1.2746E-4</v>
      </c>
    </row>
    <row r="26" spans="1:15" x14ac:dyDescent="0.25">
      <c r="A26" t="s">
        <v>38</v>
      </c>
      <c r="B26">
        <v>6.4282593999999998E-2</v>
      </c>
      <c r="C26">
        <v>148.8023</v>
      </c>
      <c r="D26">
        <v>369821</v>
      </c>
      <c r="E26">
        <v>0.7198</v>
      </c>
      <c r="F26">
        <v>0</v>
      </c>
      <c r="G26">
        <f t="shared" si="0"/>
        <v>0</v>
      </c>
      <c r="H26">
        <v>150000</v>
      </c>
      <c r="I26">
        <v>0.40300000000000002</v>
      </c>
      <c r="J26" s="1">
        <v>4.3199999999999998E-4</v>
      </c>
      <c r="K26" t="s">
        <v>76</v>
      </c>
      <c r="L26" t="s">
        <v>78</v>
      </c>
      <c r="M26" t="s">
        <v>75</v>
      </c>
      <c r="N26" t="s">
        <v>14</v>
      </c>
      <c r="O26">
        <v>1.39622E-4</v>
      </c>
    </row>
    <row r="27" spans="1:15" x14ac:dyDescent="0.25">
      <c r="A27" t="s">
        <v>39</v>
      </c>
      <c r="B27">
        <v>6.4282593999999998E-2</v>
      </c>
      <c r="C27">
        <v>148.8023</v>
      </c>
      <c r="D27">
        <v>369821</v>
      </c>
      <c r="E27">
        <v>0.7198</v>
      </c>
      <c r="F27" s="1">
        <v>13114</v>
      </c>
      <c r="G27">
        <f t="shared" si="0"/>
        <v>380.51582399999995</v>
      </c>
      <c r="H27">
        <v>150000</v>
      </c>
      <c r="I27">
        <v>0.40300000000000002</v>
      </c>
      <c r="J27" s="1">
        <v>4.3199999999999998E-4</v>
      </c>
      <c r="K27" t="s">
        <v>76</v>
      </c>
      <c r="L27" t="s">
        <v>78</v>
      </c>
      <c r="M27" t="s">
        <v>75</v>
      </c>
      <c r="N27" t="s">
        <v>14</v>
      </c>
      <c r="O27">
        <v>1.1931500000000001E-4</v>
      </c>
    </row>
    <row r="28" spans="1:15" x14ac:dyDescent="0.25">
      <c r="A28" t="s">
        <v>40</v>
      </c>
      <c r="B28">
        <v>6.4282593999999998E-2</v>
      </c>
      <c r="C28">
        <v>148.8023</v>
      </c>
      <c r="D28">
        <v>369821</v>
      </c>
      <c r="E28">
        <v>0.7198</v>
      </c>
      <c r="F28" s="1">
        <v>18367</v>
      </c>
      <c r="G28">
        <f t="shared" si="0"/>
        <v>532.93687199999999</v>
      </c>
      <c r="H28">
        <v>150000</v>
      </c>
      <c r="I28">
        <v>0.40300000000000002</v>
      </c>
      <c r="J28" s="1">
        <v>4.3199999999999998E-4</v>
      </c>
      <c r="K28" t="s">
        <v>76</v>
      </c>
      <c r="L28" t="s">
        <v>78</v>
      </c>
      <c r="M28" t="s">
        <v>75</v>
      </c>
      <c r="N28" t="s">
        <v>14</v>
      </c>
      <c r="O28">
        <v>1.21718E-4</v>
      </c>
    </row>
    <row r="29" spans="1:15" x14ac:dyDescent="0.25">
      <c r="A29" t="s">
        <v>41</v>
      </c>
      <c r="B29">
        <v>6.4282593999999998E-2</v>
      </c>
      <c r="C29">
        <v>148.8023</v>
      </c>
      <c r="D29">
        <v>369821</v>
      </c>
      <c r="E29">
        <v>0.7198</v>
      </c>
      <c r="F29" s="1">
        <v>21000</v>
      </c>
      <c r="G29">
        <f t="shared" si="0"/>
        <v>609.3359999999999</v>
      </c>
      <c r="H29">
        <v>150000</v>
      </c>
      <c r="I29">
        <v>0.40300000000000002</v>
      </c>
      <c r="J29" s="1">
        <v>4.3199999999999998E-4</v>
      </c>
      <c r="K29" t="s">
        <v>76</v>
      </c>
      <c r="L29" t="s">
        <v>78</v>
      </c>
      <c r="M29" t="s">
        <v>75</v>
      </c>
      <c r="N29" t="s">
        <v>14</v>
      </c>
      <c r="O29">
        <v>1.14428E-4</v>
      </c>
    </row>
    <row r="30" spans="1:15" x14ac:dyDescent="0.25">
      <c r="A30" t="s">
        <v>42</v>
      </c>
      <c r="B30">
        <v>6.4289894E-2</v>
      </c>
      <c r="C30">
        <v>148.8192</v>
      </c>
      <c r="D30">
        <v>385011</v>
      </c>
      <c r="E30">
        <v>0.79969999999999997</v>
      </c>
      <c r="F30">
        <v>0</v>
      </c>
      <c r="G30">
        <f t="shared" si="0"/>
        <v>0</v>
      </c>
      <c r="H30">
        <v>150000</v>
      </c>
      <c r="I30">
        <v>0.40300000000000002</v>
      </c>
      <c r="J30" s="1">
        <v>4.3199999999999998E-4</v>
      </c>
      <c r="K30" t="s">
        <v>76</v>
      </c>
      <c r="L30" t="s">
        <v>78</v>
      </c>
      <c r="M30" t="s">
        <v>75</v>
      </c>
      <c r="N30" t="s">
        <v>14</v>
      </c>
      <c r="O30">
        <v>1.20362E-4</v>
      </c>
    </row>
    <row r="31" spans="1:15" x14ac:dyDescent="0.25">
      <c r="A31" t="s">
        <v>43</v>
      </c>
      <c r="B31">
        <v>6.4289894E-2</v>
      </c>
      <c r="C31">
        <v>148.8192</v>
      </c>
      <c r="D31">
        <v>385011</v>
      </c>
      <c r="E31">
        <v>0.79969999999999997</v>
      </c>
      <c r="F31" s="1">
        <v>13105</v>
      </c>
      <c r="G31">
        <f t="shared" si="0"/>
        <v>380.25468000000001</v>
      </c>
      <c r="H31">
        <v>150000</v>
      </c>
      <c r="I31">
        <v>0.40300000000000002</v>
      </c>
      <c r="J31" s="1">
        <v>4.3199999999999998E-4</v>
      </c>
      <c r="K31" t="s">
        <v>76</v>
      </c>
      <c r="L31" t="s">
        <v>78</v>
      </c>
      <c r="M31" t="s">
        <v>75</v>
      </c>
      <c r="N31" t="s">
        <v>14</v>
      </c>
      <c r="O31">
        <v>1.0671E-4</v>
      </c>
    </row>
    <row r="32" spans="1:15" x14ac:dyDescent="0.25">
      <c r="A32" t="s">
        <v>44</v>
      </c>
      <c r="B32">
        <v>6.4289894E-2</v>
      </c>
      <c r="C32">
        <v>148.8192</v>
      </c>
      <c r="D32">
        <v>385011</v>
      </c>
      <c r="E32">
        <v>0.79969999999999997</v>
      </c>
      <c r="F32" s="1">
        <v>15739</v>
      </c>
      <c r="G32">
        <f t="shared" si="0"/>
        <v>456.68282399999998</v>
      </c>
      <c r="H32">
        <v>150000</v>
      </c>
      <c r="I32">
        <v>0.40300000000000002</v>
      </c>
      <c r="J32" s="1">
        <v>4.3199999999999998E-4</v>
      </c>
      <c r="K32" t="s">
        <v>76</v>
      </c>
      <c r="L32" t="s">
        <v>78</v>
      </c>
      <c r="M32" t="s">
        <v>75</v>
      </c>
      <c r="N32" t="s">
        <v>14</v>
      </c>
      <c r="O32" s="1">
        <v>9.7600000000000001E-5</v>
      </c>
    </row>
    <row r="33" spans="1:15" x14ac:dyDescent="0.25">
      <c r="A33" t="s">
        <v>45</v>
      </c>
      <c r="B33">
        <v>6.4289894E-2</v>
      </c>
      <c r="C33">
        <v>148.8192</v>
      </c>
      <c r="D33">
        <v>385011</v>
      </c>
      <c r="E33">
        <v>0.79969999999999997</v>
      </c>
      <c r="F33" s="1">
        <v>18366</v>
      </c>
      <c r="G33">
        <f t="shared" si="0"/>
        <v>532.90785600000004</v>
      </c>
      <c r="H33">
        <v>150000</v>
      </c>
      <c r="I33">
        <v>0.40300000000000002</v>
      </c>
      <c r="J33" s="1">
        <v>4.3199999999999998E-4</v>
      </c>
      <c r="K33" t="s">
        <v>76</v>
      </c>
      <c r="L33" t="s">
        <v>78</v>
      </c>
      <c r="M33" t="s">
        <v>75</v>
      </c>
      <c r="N33" t="s">
        <v>14</v>
      </c>
      <c r="O33" s="1">
        <v>9.6100000000000005E-5</v>
      </c>
    </row>
    <row r="34" spans="1:15" x14ac:dyDescent="0.25">
      <c r="A34" t="s">
        <v>46</v>
      </c>
      <c r="B34">
        <v>6.4282032000000003E-2</v>
      </c>
      <c r="C34">
        <v>148.80099999999999</v>
      </c>
      <c r="D34">
        <v>399991</v>
      </c>
      <c r="E34">
        <v>0.87849999999999995</v>
      </c>
      <c r="F34">
        <v>0</v>
      </c>
      <c r="G34">
        <f t="shared" si="0"/>
        <v>0</v>
      </c>
      <c r="H34">
        <v>150000</v>
      </c>
      <c r="I34">
        <v>0.40300000000000002</v>
      </c>
      <c r="J34" s="1">
        <v>4.3199999999999998E-4</v>
      </c>
      <c r="K34" t="s">
        <v>76</v>
      </c>
      <c r="L34" t="s">
        <v>78</v>
      </c>
      <c r="M34" t="s">
        <v>75</v>
      </c>
      <c r="N34" t="s">
        <v>14</v>
      </c>
      <c r="O34">
        <v>1.0501300000000001E-4</v>
      </c>
    </row>
    <row r="35" spans="1:15" x14ac:dyDescent="0.25">
      <c r="A35" t="s">
        <v>47</v>
      </c>
      <c r="B35">
        <v>6.4282032000000003E-2</v>
      </c>
      <c r="C35">
        <v>148.80099999999999</v>
      </c>
      <c r="D35">
        <v>399991</v>
      </c>
      <c r="E35">
        <v>0.87849999999999995</v>
      </c>
      <c r="F35" s="1">
        <v>10455</v>
      </c>
      <c r="G35">
        <f t="shared" si="0"/>
        <v>303.36228000000006</v>
      </c>
      <c r="H35">
        <v>150000</v>
      </c>
      <c r="I35">
        <v>0.40300000000000002</v>
      </c>
      <c r="J35" s="1">
        <v>4.3199999999999998E-4</v>
      </c>
      <c r="K35" t="s">
        <v>76</v>
      </c>
      <c r="L35" t="s">
        <v>78</v>
      </c>
      <c r="M35" t="s">
        <v>75</v>
      </c>
      <c r="N35" t="s">
        <v>14</v>
      </c>
      <c r="O35" s="1">
        <v>9.2100000000000003E-5</v>
      </c>
    </row>
    <row r="36" spans="1:15" x14ac:dyDescent="0.25">
      <c r="A36" t="s">
        <v>48</v>
      </c>
      <c r="B36">
        <v>6.4282032000000003E-2</v>
      </c>
      <c r="C36">
        <v>148.80099999999999</v>
      </c>
      <c r="D36">
        <v>399991</v>
      </c>
      <c r="E36">
        <v>0.87849999999999995</v>
      </c>
      <c r="F36" s="1">
        <v>13073</v>
      </c>
      <c r="G36">
        <f t="shared" si="0"/>
        <v>379.32616800000005</v>
      </c>
      <c r="H36">
        <v>150000</v>
      </c>
      <c r="I36">
        <v>0.40300000000000002</v>
      </c>
      <c r="J36" s="1">
        <v>4.3199999999999998E-4</v>
      </c>
      <c r="K36" t="s">
        <v>76</v>
      </c>
      <c r="L36" t="s">
        <v>78</v>
      </c>
      <c r="M36" t="s">
        <v>75</v>
      </c>
      <c r="N36" t="s">
        <v>14</v>
      </c>
      <c r="O36" s="1">
        <v>8.8300000000000005E-5</v>
      </c>
    </row>
    <row r="37" spans="1:15" x14ac:dyDescent="0.25">
      <c r="A37" t="s">
        <v>49</v>
      </c>
      <c r="B37">
        <v>6.4282032000000003E-2</v>
      </c>
      <c r="C37">
        <v>148.80099999999999</v>
      </c>
      <c r="D37">
        <v>399991</v>
      </c>
      <c r="E37">
        <v>0.87849999999999995</v>
      </c>
      <c r="F37" s="1">
        <v>15635</v>
      </c>
      <c r="G37">
        <f t="shared" si="0"/>
        <v>453.66516000000001</v>
      </c>
      <c r="H37">
        <v>150000</v>
      </c>
      <c r="I37">
        <v>0.40300000000000002</v>
      </c>
      <c r="J37" s="1">
        <v>4.3199999999999998E-4</v>
      </c>
      <c r="K37" t="s">
        <v>76</v>
      </c>
      <c r="L37" t="s">
        <v>78</v>
      </c>
      <c r="M37" t="s">
        <v>75</v>
      </c>
      <c r="N37" t="s">
        <v>14</v>
      </c>
      <c r="O37" s="1">
        <v>8.2100000000000003E-5</v>
      </c>
    </row>
    <row r="38" spans="1:15" x14ac:dyDescent="0.25">
      <c r="A38" t="s">
        <v>50</v>
      </c>
      <c r="B38">
        <v>6.3289079999999998E-2</v>
      </c>
      <c r="C38">
        <v>146.5025</v>
      </c>
      <c r="D38">
        <v>415009</v>
      </c>
      <c r="E38">
        <v>0.95750000000000002</v>
      </c>
      <c r="F38">
        <v>0</v>
      </c>
      <c r="G38">
        <f t="shared" si="0"/>
        <v>0</v>
      </c>
      <c r="H38">
        <v>150000</v>
      </c>
      <c r="I38">
        <v>0.40300000000000002</v>
      </c>
      <c r="J38" s="1">
        <v>4.3199999999999998E-4</v>
      </c>
      <c r="K38" t="s">
        <v>76</v>
      </c>
      <c r="L38" t="s">
        <v>78</v>
      </c>
      <c r="M38" t="s">
        <v>75</v>
      </c>
      <c r="N38" t="s">
        <v>14</v>
      </c>
      <c r="O38" s="1">
        <v>8.3800000000000004E-5</v>
      </c>
    </row>
    <row r="39" spans="1:15" x14ac:dyDescent="0.25">
      <c r="A39" t="s">
        <v>51</v>
      </c>
      <c r="B39">
        <v>6.3289079999999998E-2</v>
      </c>
      <c r="C39">
        <v>146.5025</v>
      </c>
      <c r="D39">
        <v>415009</v>
      </c>
      <c r="E39">
        <v>0.95750000000000002</v>
      </c>
      <c r="F39" s="1">
        <v>2540.3000000000002</v>
      </c>
      <c r="G39">
        <f t="shared" si="0"/>
        <v>73.709344799999997</v>
      </c>
      <c r="H39">
        <v>150000</v>
      </c>
      <c r="I39">
        <v>0.40300000000000002</v>
      </c>
      <c r="J39" s="1">
        <v>4.3199999999999998E-4</v>
      </c>
      <c r="K39" t="s">
        <v>76</v>
      </c>
      <c r="L39" t="s">
        <v>78</v>
      </c>
      <c r="M39" t="s">
        <v>75</v>
      </c>
      <c r="N39" t="s">
        <v>14</v>
      </c>
      <c r="O39" s="1">
        <v>8.1899999999999999E-5</v>
      </c>
    </row>
    <row r="40" spans="1:15" x14ac:dyDescent="0.25">
      <c r="A40" t="s">
        <v>52</v>
      </c>
      <c r="B40">
        <v>6.3289079999999998E-2</v>
      </c>
      <c r="C40">
        <v>146.5025</v>
      </c>
      <c r="D40">
        <v>415009</v>
      </c>
      <c r="E40">
        <v>0.95750000000000002</v>
      </c>
      <c r="F40" s="1">
        <v>8805.2000000000007</v>
      </c>
      <c r="G40">
        <f t="shared" si="0"/>
        <v>255.49168320000004</v>
      </c>
      <c r="H40">
        <v>150000</v>
      </c>
      <c r="I40">
        <v>0.40300000000000002</v>
      </c>
      <c r="J40" s="1">
        <v>4.3199999999999998E-4</v>
      </c>
      <c r="K40" t="s">
        <v>76</v>
      </c>
      <c r="L40" t="s">
        <v>78</v>
      </c>
      <c r="M40" t="s">
        <v>75</v>
      </c>
      <c r="N40" t="s">
        <v>14</v>
      </c>
      <c r="O40" s="1">
        <v>7.0400000000000004E-5</v>
      </c>
    </row>
    <row r="41" spans="1:15" x14ac:dyDescent="0.25">
      <c r="A41" t="s">
        <v>53</v>
      </c>
      <c r="B41">
        <v>6.3289079999999998E-2</v>
      </c>
      <c r="C41">
        <v>146.5025</v>
      </c>
      <c r="D41">
        <v>415009</v>
      </c>
      <c r="E41">
        <v>0.95750000000000002</v>
      </c>
      <c r="F41" s="1">
        <v>10008</v>
      </c>
      <c r="G41">
        <f t="shared" si="0"/>
        <v>290.39212800000001</v>
      </c>
      <c r="H41">
        <v>150000</v>
      </c>
      <c r="I41">
        <v>0.40300000000000002</v>
      </c>
      <c r="J41" s="1">
        <v>4.3199999999999998E-4</v>
      </c>
      <c r="K41" t="s">
        <v>76</v>
      </c>
      <c r="L41" t="s">
        <v>78</v>
      </c>
      <c r="M41" t="s">
        <v>75</v>
      </c>
      <c r="N41" t="s">
        <v>14</v>
      </c>
      <c r="O41" s="1">
        <v>7.0099999999999996E-5</v>
      </c>
    </row>
    <row r="42" spans="1:15" x14ac:dyDescent="0.25">
      <c r="A42" t="s">
        <v>54</v>
      </c>
      <c r="B42">
        <v>7.2249926000000006E-2</v>
      </c>
      <c r="C42">
        <v>167.24520000000001</v>
      </c>
      <c r="D42">
        <v>353606</v>
      </c>
      <c r="E42">
        <v>0.63449999999999995</v>
      </c>
      <c r="F42">
        <v>0</v>
      </c>
      <c r="G42">
        <f t="shared" si="0"/>
        <v>0</v>
      </c>
      <c r="H42">
        <v>150000</v>
      </c>
      <c r="I42">
        <v>0.40300000000000002</v>
      </c>
      <c r="J42" s="1">
        <v>4.3199999999999998E-4</v>
      </c>
      <c r="K42" t="s">
        <v>76</v>
      </c>
      <c r="L42" t="s">
        <v>78</v>
      </c>
      <c r="M42" t="s">
        <v>75</v>
      </c>
      <c r="N42" t="s">
        <v>14</v>
      </c>
      <c r="O42">
        <v>1.47186E-4</v>
      </c>
    </row>
    <row r="43" spans="1:15" x14ac:dyDescent="0.25">
      <c r="A43" t="s">
        <v>55</v>
      </c>
      <c r="B43">
        <v>7.2249926000000006E-2</v>
      </c>
      <c r="C43">
        <v>167.24520000000001</v>
      </c>
      <c r="D43">
        <v>353606</v>
      </c>
      <c r="E43">
        <v>0.63449999999999995</v>
      </c>
      <c r="F43" s="1">
        <v>13028</v>
      </c>
      <c r="G43">
        <f t="shared" si="0"/>
        <v>378.02044799999999</v>
      </c>
      <c r="H43">
        <v>150000</v>
      </c>
      <c r="I43">
        <v>0.40300000000000002</v>
      </c>
      <c r="J43" s="1">
        <v>4.3199999999999998E-4</v>
      </c>
      <c r="K43" t="s">
        <v>76</v>
      </c>
      <c r="L43" t="s">
        <v>78</v>
      </c>
      <c r="M43" t="s">
        <v>75</v>
      </c>
      <c r="N43" t="s">
        <v>14</v>
      </c>
      <c r="O43">
        <v>1.28665E-4</v>
      </c>
    </row>
    <row r="44" spans="1:15" x14ac:dyDescent="0.25">
      <c r="A44" t="s">
        <v>56</v>
      </c>
      <c r="B44">
        <v>7.2249926000000006E-2</v>
      </c>
      <c r="C44">
        <v>167.24520000000001</v>
      </c>
      <c r="D44">
        <v>353606</v>
      </c>
      <c r="E44">
        <v>0.63449999999999995</v>
      </c>
      <c r="F44" s="1">
        <v>26165</v>
      </c>
      <c r="G44">
        <f t="shared" si="0"/>
        <v>759.20363999999995</v>
      </c>
      <c r="H44">
        <v>150000</v>
      </c>
      <c r="I44">
        <v>0.40300000000000002</v>
      </c>
      <c r="J44" s="1">
        <v>4.3199999999999998E-4</v>
      </c>
      <c r="K44" t="s">
        <v>76</v>
      </c>
      <c r="L44" t="s">
        <v>78</v>
      </c>
      <c r="M44" t="s">
        <v>75</v>
      </c>
      <c r="N44" t="s">
        <v>14</v>
      </c>
      <c r="O44">
        <v>1.11675E-4</v>
      </c>
    </row>
    <row r="45" spans="1:15" x14ac:dyDescent="0.25">
      <c r="A45" t="s">
        <v>57</v>
      </c>
      <c r="B45">
        <v>7.2249926000000006E-2</v>
      </c>
      <c r="C45">
        <v>167.24520000000001</v>
      </c>
      <c r="D45">
        <v>353606</v>
      </c>
      <c r="E45">
        <v>0.63449999999999995</v>
      </c>
      <c r="F45" s="1">
        <v>28797</v>
      </c>
      <c r="G45">
        <f t="shared" si="0"/>
        <v>835.57375200000001</v>
      </c>
      <c r="H45">
        <v>150000</v>
      </c>
      <c r="I45">
        <v>0.40300000000000002</v>
      </c>
      <c r="J45" s="1">
        <v>4.3199999999999998E-4</v>
      </c>
      <c r="K45" t="s">
        <v>76</v>
      </c>
      <c r="L45" t="s">
        <v>78</v>
      </c>
      <c r="M45" t="s">
        <v>75</v>
      </c>
      <c r="N45" t="s">
        <v>14</v>
      </c>
      <c r="O45">
        <v>1.0819699999999999E-4</v>
      </c>
    </row>
    <row r="46" spans="1:15" x14ac:dyDescent="0.25">
      <c r="A46" t="s">
        <v>58</v>
      </c>
      <c r="B46">
        <v>7.2255542000000006E-2</v>
      </c>
      <c r="C46">
        <v>167.25819999999999</v>
      </c>
      <c r="D46">
        <v>367160</v>
      </c>
      <c r="E46">
        <v>0.70579999999999998</v>
      </c>
      <c r="F46">
        <v>0</v>
      </c>
      <c r="G46">
        <f t="shared" si="0"/>
        <v>0</v>
      </c>
      <c r="H46">
        <v>150000</v>
      </c>
      <c r="I46">
        <v>0.40300000000000002</v>
      </c>
      <c r="J46" s="1">
        <v>4.3199999999999998E-4</v>
      </c>
      <c r="K46" t="s">
        <v>76</v>
      </c>
      <c r="L46" t="s">
        <v>78</v>
      </c>
      <c r="M46" t="s">
        <v>75</v>
      </c>
      <c r="N46" t="s">
        <v>14</v>
      </c>
      <c r="O46">
        <v>1.2542900000000001E-4</v>
      </c>
    </row>
    <row r="47" spans="1:15" x14ac:dyDescent="0.25">
      <c r="A47" t="s">
        <v>59</v>
      </c>
      <c r="B47">
        <v>7.2255542000000006E-2</v>
      </c>
      <c r="C47">
        <v>167.25819999999999</v>
      </c>
      <c r="D47">
        <v>367160</v>
      </c>
      <c r="E47">
        <v>0.70579999999999998</v>
      </c>
      <c r="F47" s="1">
        <v>13050</v>
      </c>
      <c r="G47">
        <f t="shared" si="0"/>
        <v>378.65879999999999</v>
      </c>
      <c r="H47">
        <v>150000</v>
      </c>
      <c r="I47">
        <v>0.40300000000000002</v>
      </c>
      <c r="J47" s="1">
        <v>4.3199999999999998E-4</v>
      </c>
      <c r="K47" t="s">
        <v>76</v>
      </c>
      <c r="L47" t="s">
        <v>78</v>
      </c>
      <c r="M47" t="s">
        <v>75</v>
      </c>
      <c r="N47" t="s">
        <v>14</v>
      </c>
      <c r="O47">
        <v>1.13292E-4</v>
      </c>
    </row>
    <row r="48" spans="1:15" x14ac:dyDescent="0.25">
      <c r="A48" t="s">
        <v>60</v>
      </c>
      <c r="B48">
        <v>7.2255542000000006E-2</v>
      </c>
      <c r="C48">
        <v>167.25819999999999</v>
      </c>
      <c r="D48">
        <v>367160</v>
      </c>
      <c r="E48">
        <v>0.70579999999999998</v>
      </c>
      <c r="F48" s="1">
        <v>23575</v>
      </c>
      <c r="G48">
        <f t="shared" si="0"/>
        <v>684.05219999999997</v>
      </c>
      <c r="H48">
        <v>150000</v>
      </c>
      <c r="I48">
        <v>0.40300000000000002</v>
      </c>
      <c r="J48" s="1">
        <v>4.3199999999999998E-4</v>
      </c>
      <c r="K48" t="s">
        <v>76</v>
      </c>
      <c r="L48" t="s">
        <v>78</v>
      </c>
      <c r="M48" t="s">
        <v>75</v>
      </c>
      <c r="N48" t="s">
        <v>14</v>
      </c>
      <c r="O48">
        <v>1.0514E-4</v>
      </c>
    </row>
    <row r="49" spans="1:15" x14ac:dyDescent="0.25">
      <c r="A49" t="s">
        <v>61</v>
      </c>
      <c r="B49">
        <v>7.2255542000000006E-2</v>
      </c>
      <c r="C49">
        <v>167.25819999999999</v>
      </c>
      <c r="D49">
        <v>367160</v>
      </c>
      <c r="E49">
        <v>0.70579999999999998</v>
      </c>
      <c r="F49" s="1">
        <v>24886</v>
      </c>
      <c r="G49">
        <f t="shared" si="0"/>
        <v>722.09217599999999</v>
      </c>
      <c r="H49">
        <v>150000</v>
      </c>
      <c r="I49">
        <v>0.40300000000000002</v>
      </c>
      <c r="J49" s="1">
        <v>4.3199999999999998E-4</v>
      </c>
      <c r="K49" t="s">
        <v>76</v>
      </c>
      <c r="L49" t="s">
        <v>78</v>
      </c>
      <c r="M49" t="s">
        <v>75</v>
      </c>
      <c r="N49" t="s">
        <v>14</v>
      </c>
      <c r="O49">
        <v>1.0189200000000001E-4</v>
      </c>
    </row>
    <row r="50" spans="1:15" x14ac:dyDescent="0.25">
      <c r="A50" t="s">
        <v>62</v>
      </c>
      <c r="B50">
        <v>7.2266990000000003E-2</v>
      </c>
      <c r="C50">
        <v>167.28469999999999</v>
      </c>
      <c r="D50">
        <v>382235</v>
      </c>
      <c r="E50">
        <v>0.78510000000000002</v>
      </c>
      <c r="F50">
        <v>0</v>
      </c>
      <c r="G50">
        <f t="shared" si="0"/>
        <v>0</v>
      </c>
      <c r="H50">
        <v>150000</v>
      </c>
      <c r="I50">
        <v>0.40300000000000002</v>
      </c>
      <c r="J50" s="1">
        <v>4.3199999999999998E-4</v>
      </c>
      <c r="K50" t="s">
        <v>76</v>
      </c>
      <c r="L50" t="s">
        <v>78</v>
      </c>
      <c r="M50" t="s">
        <v>75</v>
      </c>
      <c r="N50" t="s">
        <v>14</v>
      </c>
      <c r="O50">
        <v>1.08825E-4</v>
      </c>
    </row>
    <row r="51" spans="1:15" x14ac:dyDescent="0.25">
      <c r="A51" t="s">
        <v>63</v>
      </c>
      <c r="B51">
        <v>7.2266990000000003E-2</v>
      </c>
      <c r="C51">
        <v>167.28469999999999</v>
      </c>
      <c r="D51">
        <v>382235</v>
      </c>
      <c r="E51">
        <v>0.78510000000000002</v>
      </c>
      <c r="F51" s="1">
        <v>13057</v>
      </c>
      <c r="G51">
        <f t="shared" si="0"/>
        <v>378.86191200000002</v>
      </c>
      <c r="H51">
        <v>150000</v>
      </c>
      <c r="I51">
        <v>0.40300000000000002</v>
      </c>
      <c r="J51" s="1">
        <v>4.3199999999999998E-4</v>
      </c>
      <c r="K51" t="s">
        <v>76</v>
      </c>
      <c r="L51" t="s">
        <v>78</v>
      </c>
      <c r="M51" t="s">
        <v>75</v>
      </c>
      <c r="N51" t="s">
        <v>14</v>
      </c>
      <c r="O51" s="1">
        <v>9.7499999999999998E-5</v>
      </c>
    </row>
    <row r="52" spans="1:15" x14ac:dyDescent="0.25">
      <c r="A52" t="s">
        <v>64</v>
      </c>
      <c r="B52">
        <v>7.2266990000000003E-2</v>
      </c>
      <c r="C52">
        <v>167.28469999999999</v>
      </c>
      <c r="D52">
        <v>382235</v>
      </c>
      <c r="E52">
        <v>0.78510000000000002</v>
      </c>
      <c r="F52" s="1">
        <v>18317</v>
      </c>
      <c r="G52">
        <f t="shared" si="0"/>
        <v>531.48607199999992</v>
      </c>
      <c r="H52">
        <v>150000</v>
      </c>
      <c r="I52">
        <v>0.40300000000000002</v>
      </c>
      <c r="J52" s="1">
        <v>4.3199999999999998E-4</v>
      </c>
      <c r="K52" t="s">
        <v>76</v>
      </c>
      <c r="L52" t="s">
        <v>78</v>
      </c>
      <c r="M52" t="s">
        <v>75</v>
      </c>
      <c r="N52" t="s">
        <v>14</v>
      </c>
      <c r="O52" s="1">
        <v>9.2E-5</v>
      </c>
    </row>
    <row r="53" spans="1:15" x14ac:dyDescent="0.25">
      <c r="A53" t="s">
        <v>65</v>
      </c>
      <c r="B53">
        <v>7.2266990000000003E-2</v>
      </c>
      <c r="C53">
        <v>167.28469999999999</v>
      </c>
      <c r="D53">
        <v>382235</v>
      </c>
      <c r="E53">
        <v>0.78510000000000002</v>
      </c>
      <c r="F53" s="1">
        <v>19628</v>
      </c>
      <c r="G53">
        <f t="shared" si="0"/>
        <v>569.52604800000006</v>
      </c>
      <c r="H53">
        <v>150000</v>
      </c>
      <c r="I53">
        <v>0.40300000000000002</v>
      </c>
      <c r="J53" s="1">
        <v>4.3199999999999998E-4</v>
      </c>
      <c r="K53" t="s">
        <v>76</v>
      </c>
      <c r="L53" t="s">
        <v>78</v>
      </c>
      <c r="M53" t="s">
        <v>75</v>
      </c>
      <c r="N53" t="s">
        <v>14</v>
      </c>
      <c r="O53" s="1">
        <v>9.0500000000000004E-5</v>
      </c>
    </row>
    <row r="54" spans="1:15" x14ac:dyDescent="0.25">
      <c r="A54" t="s">
        <v>66</v>
      </c>
      <c r="B54">
        <v>7.2264269000000006E-2</v>
      </c>
      <c r="C54">
        <v>167.2784</v>
      </c>
      <c r="D54">
        <v>397367</v>
      </c>
      <c r="E54">
        <v>0.86470000000000002</v>
      </c>
      <c r="F54">
        <v>0</v>
      </c>
      <c r="G54">
        <f t="shared" si="0"/>
        <v>0</v>
      </c>
      <c r="H54">
        <v>150000</v>
      </c>
      <c r="I54">
        <v>0.40300000000000002</v>
      </c>
      <c r="J54" s="1">
        <v>4.3199999999999998E-4</v>
      </c>
      <c r="K54" t="s">
        <v>76</v>
      </c>
      <c r="L54" t="s">
        <v>78</v>
      </c>
      <c r="M54" t="s">
        <v>75</v>
      </c>
      <c r="N54" t="s">
        <v>14</v>
      </c>
      <c r="O54" s="1">
        <v>9.4900000000000003E-5</v>
      </c>
    </row>
    <row r="55" spans="1:15" x14ac:dyDescent="0.25">
      <c r="A55" t="s">
        <v>67</v>
      </c>
      <c r="B55">
        <v>7.2264269000000006E-2</v>
      </c>
      <c r="C55">
        <v>167.2784</v>
      </c>
      <c r="D55">
        <v>397367</v>
      </c>
      <c r="E55">
        <v>0.86470000000000002</v>
      </c>
      <c r="F55" s="1">
        <v>10385</v>
      </c>
      <c r="G55">
        <f t="shared" si="0"/>
        <v>301.33116000000001</v>
      </c>
      <c r="H55">
        <v>150000</v>
      </c>
      <c r="I55">
        <v>0.40300000000000002</v>
      </c>
      <c r="J55" s="1">
        <v>4.3199999999999998E-4</v>
      </c>
      <c r="K55" t="s">
        <v>76</v>
      </c>
      <c r="L55" t="s">
        <v>78</v>
      </c>
      <c r="M55" t="s">
        <v>75</v>
      </c>
      <c r="N55" t="s">
        <v>14</v>
      </c>
      <c r="O55" s="1">
        <v>8.6899999999999998E-5</v>
      </c>
    </row>
    <row r="56" spans="1:15" x14ac:dyDescent="0.25">
      <c r="A56" t="s">
        <v>68</v>
      </c>
      <c r="B56">
        <v>7.2264269000000006E-2</v>
      </c>
      <c r="C56">
        <v>167.2784</v>
      </c>
      <c r="D56">
        <v>397367</v>
      </c>
      <c r="E56">
        <v>0.86470000000000002</v>
      </c>
      <c r="F56" s="1">
        <v>13023</v>
      </c>
      <c r="G56">
        <f t="shared" si="0"/>
        <v>377.87536799999998</v>
      </c>
      <c r="H56">
        <v>150000</v>
      </c>
      <c r="I56">
        <v>0.40300000000000002</v>
      </c>
      <c r="J56" s="1">
        <v>4.3199999999999998E-4</v>
      </c>
      <c r="K56" t="s">
        <v>76</v>
      </c>
      <c r="L56" t="s">
        <v>78</v>
      </c>
      <c r="M56" t="s">
        <v>75</v>
      </c>
      <c r="N56" t="s">
        <v>14</v>
      </c>
      <c r="O56" s="1">
        <v>8.4499999999999994E-5</v>
      </c>
    </row>
    <row r="57" spans="1:15" x14ac:dyDescent="0.25">
      <c r="A57" t="s">
        <v>69</v>
      </c>
      <c r="B57">
        <v>7.2264269000000006E-2</v>
      </c>
      <c r="C57">
        <v>167.2784</v>
      </c>
      <c r="D57">
        <v>397367</v>
      </c>
      <c r="E57">
        <v>0.86470000000000002</v>
      </c>
      <c r="F57" s="1">
        <v>15641</v>
      </c>
      <c r="G57">
        <f t="shared" si="0"/>
        <v>453.83925599999998</v>
      </c>
      <c r="H57">
        <v>150000</v>
      </c>
      <c r="I57">
        <v>0.40300000000000002</v>
      </c>
      <c r="J57" s="1">
        <v>4.3199999999999998E-4</v>
      </c>
      <c r="K57" t="s">
        <v>76</v>
      </c>
      <c r="L57" t="s">
        <v>78</v>
      </c>
      <c r="M57" t="s">
        <v>75</v>
      </c>
      <c r="N57" t="s">
        <v>14</v>
      </c>
      <c r="O57" s="1">
        <v>8.1899999999999999E-5</v>
      </c>
    </row>
    <row r="58" spans="1:15" x14ac:dyDescent="0.25">
      <c r="A58" t="s">
        <v>70</v>
      </c>
      <c r="B58">
        <v>7.2256925E-2</v>
      </c>
      <c r="C58">
        <v>167.26140000000001</v>
      </c>
      <c r="D58">
        <v>412728</v>
      </c>
      <c r="E58">
        <v>0.94550000000000001</v>
      </c>
      <c r="F58">
        <v>0</v>
      </c>
      <c r="G58">
        <f t="shared" si="0"/>
        <v>0</v>
      </c>
      <c r="H58">
        <v>150000</v>
      </c>
      <c r="I58">
        <v>0.40300000000000002</v>
      </c>
      <c r="J58" s="1">
        <v>4.3199999999999998E-4</v>
      </c>
      <c r="K58" t="s">
        <v>76</v>
      </c>
      <c r="L58" t="s">
        <v>78</v>
      </c>
      <c r="M58" t="s">
        <v>75</v>
      </c>
      <c r="N58" t="s">
        <v>14</v>
      </c>
      <c r="O58" s="1">
        <v>8.1299999999999997E-5</v>
      </c>
    </row>
    <row r="59" spans="1:15" x14ac:dyDescent="0.25">
      <c r="A59" t="s">
        <v>71</v>
      </c>
      <c r="B59">
        <v>7.2256925E-2</v>
      </c>
      <c r="C59">
        <v>167.26140000000001</v>
      </c>
      <c r="D59">
        <v>412728</v>
      </c>
      <c r="E59">
        <v>0.94550000000000001</v>
      </c>
      <c r="F59" s="1">
        <v>5062.6000000000004</v>
      </c>
      <c r="G59">
        <f t="shared" si="0"/>
        <v>146.89640160000002</v>
      </c>
      <c r="H59">
        <v>150000</v>
      </c>
      <c r="I59">
        <v>0.40300000000000002</v>
      </c>
      <c r="J59" s="1">
        <v>4.3199999999999998E-4</v>
      </c>
      <c r="K59" t="s">
        <v>76</v>
      </c>
      <c r="L59" t="s">
        <v>78</v>
      </c>
      <c r="M59" t="s">
        <v>75</v>
      </c>
      <c r="N59" t="s">
        <v>14</v>
      </c>
      <c r="O59" s="1">
        <v>7.7700000000000005E-5</v>
      </c>
    </row>
    <row r="60" spans="1:15" x14ac:dyDescent="0.25">
      <c r="A60" t="s">
        <v>72</v>
      </c>
      <c r="B60">
        <v>7.2256925E-2</v>
      </c>
      <c r="C60">
        <v>167.26140000000001</v>
      </c>
      <c r="D60">
        <v>412728</v>
      </c>
      <c r="E60">
        <v>0.94550000000000001</v>
      </c>
      <c r="F60" s="1">
        <v>8915.6</v>
      </c>
      <c r="G60">
        <f t="shared" si="0"/>
        <v>258.6950496</v>
      </c>
      <c r="H60">
        <v>150000</v>
      </c>
      <c r="I60">
        <v>0.40300000000000002</v>
      </c>
      <c r="J60" s="1">
        <v>4.3199999999999998E-4</v>
      </c>
      <c r="K60" t="s">
        <v>76</v>
      </c>
      <c r="L60" t="s">
        <v>78</v>
      </c>
      <c r="M60" t="s">
        <v>75</v>
      </c>
      <c r="N60" t="s">
        <v>14</v>
      </c>
      <c r="O60" s="1">
        <v>7.2999999999999999E-5</v>
      </c>
    </row>
    <row r="61" spans="1:15" x14ac:dyDescent="0.25">
      <c r="A61" t="s">
        <v>73</v>
      </c>
      <c r="B61">
        <v>7.2256925E-2</v>
      </c>
      <c r="C61">
        <v>167.26140000000001</v>
      </c>
      <c r="D61">
        <v>412728</v>
      </c>
      <c r="E61">
        <v>0.94550000000000001</v>
      </c>
      <c r="F61" s="1">
        <v>12608</v>
      </c>
      <c r="G61">
        <f t="shared" si="0"/>
        <v>365.83372800000001</v>
      </c>
      <c r="H61">
        <v>150000</v>
      </c>
      <c r="I61">
        <v>0.40300000000000002</v>
      </c>
      <c r="J61" s="1">
        <v>4.3199999999999998E-4</v>
      </c>
      <c r="K61" t="s">
        <v>76</v>
      </c>
      <c r="L61" t="s">
        <v>78</v>
      </c>
      <c r="M61" t="s">
        <v>75</v>
      </c>
      <c r="N61" t="s">
        <v>14</v>
      </c>
      <c r="O61" s="1">
        <v>6.6099999999999994E-5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PreObsFilmThicknessComparison</vt:lpstr>
    </vt:vector>
  </TitlesOfParts>
  <Manager/>
  <Company>M365 Install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Lee</dc:creator>
  <cp:keywords/>
  <dc:description/>
  <cp:lastModifiedBy>Tyler Lee</cp:lastModifiedBy>
  <cp:revision/>
  <dcterms:created xsi:type="dcterms:W3CDTF">2026-04-22T15:02:59Z</dcterms:created>
  <dcterms:modified xsi:type="dcterms:W3CDTF">2026-04-30T17:10:36Z</dcterms:modified>
  <cp:category/>
  <cp:contentStatus/>
</cp:coreProperties>
</file>